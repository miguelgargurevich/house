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iguelfernandezgargurevich/Downloads/"/>
    </mc:Choice>
  </mc:AlternateContent>
  <xr:revisionPtr revIDLastSave="0" documentId="13_ncr:1_{2264112E-29B4-8E43-9BA5-55EEBA4AD8CE}" xr6:coauthVersionLast="47" xr6:coauthVersionMax="47" xr10:uidLastSave="{00000000-0000-0000-0000-000000000000}"/>
  <bookViews>
    <workbookView xWindow="960" yWindow="660" windowWidth="33600" windowHeight="21680" xr2:uid="{C1C786B3-2CB5-4304-A346-AF60936C05DC}"/>
  </bookViews>
  <sheets>
    <sheet name="Consolidado " sheetId="1" r:id="rId1"/>
  </sheets>
  <externalReferences>
    <externalReference r:id="rId2"/>
  </externalReferences>
  <definedNames>
    <definedName name="_xlnm.Print_Area" localSheetId="0">'Consolidado 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0" i="1" l="1"/>
  <c r="N40" i="1"/>
  <c r="M40" i="1"/>
  <c r="L40" i="1"/>
  <c r="K40" i="1"/>
  <c r="J40" i="1"/>
  <c r="I40" i="1"/>
  <c r="D40" i="1"/>
  <c r="H39" i="1"/>
  <c r="G39" i="1"/>
  <c r="F39" i="1"/>
  <c r="E39" i="1"/>
  <c r="O39" i="1" s="1"/>
  <c r="Q39" i="1" s="1"/>
  <c r="H38" i="1"/>
  <c r="G38" i="1"/>
  <c r="F38" i="1"/>
  <c r="E38" i="1"/>
  <c r="O38" i="1" s="1"/>
  <c r="Q38" i="1" s="1"/>
  <c r="H37" i="1"/>
  <c r="G37" i="1"/>
  <c r="F37" i="1"/>
  <c r="E37" i="1"/>
  <c r="O37" i="1" s="1"/>
  <c r="Q37" i="1" s="1"/>
  <c r="H36" i="1"/>
  <c r="G36" i="1"/>
  <c r="F36" i="1"/>
  <c r="E36" i="1"/>
  <c r="O36" i="1" s="1"/>
  <c r="Q36" i="1" s="1"/>
  <c r="H35" i="1"/>
  <c r="G35" i="1"/>
  <c r="F35" i="1"/>
  <c r="E35" i="1"/>
  <c r="O35" i="1" s="1"/>
  <c r="Q35" i="1" s="1"/>
  <c r="H34" i="1"/>
  <c r="G34" i="1"/>
  <c r="F34" i="1"/>
  <c r="E34" i="1"/>
  <c r="O34" i="1" s="1"/>
  <c r="Q34" i="1" s="1"/>
  <c r="H33" i="1"/>
  <c r="G33" i="1"/>
  <c r="F33" i="1"/>
  <c r="E33" i="1"/>
  <c r="O33" i="1" s="1"/>
  <c r="Q33" i="1" s="1"/>
  <c r="H32" i="1"/>
  <c r="G32" i="1"/>
  <c r="F32" i="1"/>
  <c r="E32" i="1"/>
  <c r="O32" i="1" s="1"/>
  <c r="Q32" i="1" s="1"/>
  <c r="H31" i="1"/>
  <c r="G31" i="1"/>
  <c r="F31" i="1"/>
  <c r="E31" i="1"/>
  <c r="O31" i="1" s="1"/>
  <c r="Q31" i="1" s="1"/>
  <c r="H30" i="1"/>
  <c r="G30" i="1"/>
  <c r="F30" i="1"/>
  <c r="E30" i="1"/>
  <c r="O30" i="1" s="1"/>
  <c r="Q30" i="1" s="1"/>
  <c r="H29" i="1"/>
  <c r="G29" i="1"/>
  <c r="F29" i="1"/>
  <c r="E29" i="1"/>
  <c r="O29" i="1" s="1"/>
  <c r="Q29" i="1" s="1"/>
  <c r="H28" i="1"/>
  <c r="G28" i="1"/>
  <c r="F28" i="1"/>
  <c r="E28" i="1"/>
  <c r="O28" i="1" s="1"/>
  <c r="Q28" i="1" s="1"/>
  <c r="H27" i="1"/>
  <c r="G27" i="1"/>
  <c r="F27" i="1"/>
  <c r="E27" i="1"/>
  <c r="O27" i="1" s="1"/>
  <c r="Q27" i="1" s="1"/>
  <c r="H26" i="1"/>
  <c r="G26" i="1"/>
  <c r="F26" i="1"/>
  <c r="E26" i="1"/>
  <c r="O26" i="1" s="1"/>
  <c r="Q26" i="1" s="1"/>
  <c r="H25" i="1"/>
  <c r="G25" i="1"/>
  <c r="F25" i="1"/>
  <c r="E25" i="1"/>
  <c r="O25" i="1" s="1"/>
  <c r="Q25" i="1" s="1"/>
  <c r="H24" i="1"/>
  <c r="G24" i="1"/>
  <c r="F24" i="1"/>
  <c r="E24" i="1"/>
  <c r="O24" i="1" s="1"/>
  <c r="Q24" i="1" s="1"/>
  <c r="H23" i="1"/>
  <c r="G23" i="1"/>
  <c r="F23" i="1"/>
  <c r="E23" i="1"/>
  <c r="O23" i="1" s="1"/>
  <c r="Q23" i="1" s="1"/>
  <c r="H22" i="1"/>
  <c r="G22" i="1"/>
  <c r="F22" i="1"/>
  <c r="E22" i="1"/>
  <c r="O22" i="1" s="1"/>
  <c r="Q22" i="1" s="1"/>
  <c r="H21" i="1"/>
  <c r="G21" i="1"/>
  <c r="F21" i="1"/>
  <c r="E21" i="1"/>
  <c r="O21" i="1" s="1"/>
  <c r="Q21" i="1" s="1"/>
  <c r="H20" i="1"/>
  <c r="G20" i="1"/>
  <c r="F20" i="1"/>
  <c r="E20" i="1"/>
  <c r="O20" i="1" s="1"/>
  <c r="Q20" i="1" s="1"/>
  <c r="H19" i="1"/>
  <c r="G19" i="1"/>
  <c r="F19" i="1"/>
  <c r="E19" i="1"/>
  <c r="O19" i="1" s="1"/>
  <c r="Q19" i="1" s="1"/>
  <c r="H18" i="1"/>
  <c r="G18" i="1"/>
  <c r="F18" i="1"/>
  <c r="E18" i="1"/>
  <c r="O18" i="1" s="1"/>
  <c r="Q18" i="1" s="1"/>
  <c r="H17" i="1"/>
  <c r="G17" i="1"/>
  <c r="F17" i="1"/>
  <c r="E17" i="1"/>
  <c r="O17" i="1" s="1"/>
  <c r="Q17" i="1" s="1"/>
  <c r="H16" i="1"/>
  <c r="G16" i="1"/>
  <c r="F16" i="1"/>
  <c r="E16" i="1"/>
  <c r="O16" i="1" s="1"/>
  <c r="Q16" i="1" s="1"/>
  <c r="H15" i="1"/>
  <c r="G15" i="1"/>
  <c r="F15" i="1"/>
  <c r="E15" i="1"/>
  <c r="O15" i="1" s="1"/>
  <c r="Q15" i="1" s="1"/>
  <c r="H14" i="1"/>
  <c r="G14" i="1"/>
  <c r="F14" i="1"/>
  <c r="E14" i="1"/>
  <c r="O14" i="1" s="1"/>
  <c r="Q14" i="1" s="1"/>
  <c r="H13" i="1"/>
  <c r="G13" i="1"/>
  <c r="F13" i="1"/>
  <c r="E13" i="1"/>
  <c r="O13" i="1" s="1"/>
  <c r="Q13" i="1" s="1"/>
  <c r="H12" i="1"/>
  <c r="G12" i="1"/>
  <c r="F12" i="1"/>
  <c r="E12" i="1"/>
  <c r="O12" i="1" s="1"/>
  <c r="Q12" i="1" s="1"/>
  <c r="H11" i="1"/>
  <c r="G11" i="1"/>
  <c r="F11" i="1"/>
  <c r="E11" i="1"/>
  <c r="O11" i="1" s="1"/>
  <c r="Q11" i="1" s="1"/>
  <c r="H10" i="1"/>
  <c r="G10" i="1"/>
  <c r="F10" i="1"/>
  <c r="E10" i="1"/>
  <c r="O10" i="1" s="1"/>
  <c r="Q10" i="1" s="1"/>
  <c r="H9" i="1"/>
  <c r="G9" i="1"/>
  <c r="F9" i="1"/>
  <c r="E9" i="1"/>
  <c r="O9" i="1" s="1"/>
  <c r="Q9" i="1" s="1"/>
  <c r="H8" i="1"/>
  <c r="H40" i="1" s="1"/>
  <c r="G8" i="1"/>
  <c r="G40" i="1" s="1"/>
  <c r="F8" i="1"/>
  <c r="F40" i="1" s="1"/>
  <c r="E8" i="1"/>
  <c r="I4" i="1"/>
  <c r="D2" i="1"/>
  <c r="E4" i="1"/>
  <c r="E40" i="1" l="1"/>
  <c r="O8" i="1"/>
  <c r="O40" i="1" l="1"/>
  <c r="Q8" i="1"/>
  <c r="Q40" i="1" s="1"/>
</calcChain>
</file>

<file path=xl/sharedStrings.xml><?xml version="1.0" encoding="utf-8"?>
<sst xmlns="http://schemas.openxmlformats.org/spreadsheetml/2006/main" count="86" uniqueCount="55">
  <si>
    <t>GRUPO VRANY</t>
  </si>
  <si>
    <t>MES</t>
  </si>
  <si>
    <t>VENCIMIENTO:</t>
  </si>
  <si>
    <t>BLOCK</t>
  </si>
  <si>
    <t>Dpto.</t>
  </si>
  <si>
    <t>Apellidos y Nombres</t>
  </si>
  <si>
    <t>Conceptos por cobrar</t>
  </si>
  <si>
    <t xml:space="preserve">ADMINISTRACION VRANY </t>
  </si>
  <si>
    <t>LUZ AREAS COMUNES DEL CONDOMINIO</t>
  </si>
  <si>
    <t>LUZ COMUN DEL BLOCK</t>
  </si>
  <si>
    <t>AGUA COMUN DEL CONDOMINIO</t>
  </si>
  <si>
    <t>AGUA DPTO.</t>
  </si>
  <si>
    <t>FONDO DE CONTINGENCIA DEL BLOCK</t>
  </si>
  <si>
    <t>FONDO DE 
CONTINGENCIA DEL CONDOMINIO</t>
  </si>
  <si>
    <t>MANTENIMIENTO DE ASCENSOR</t>
  </si>
  <si>
    <t>MANTENIMIENTO DE CISTERNA</t>
  </si>
  <si>
    <t>OTROS</t>
  </si>
  <si>
    <t>MULTA PAGO FUERA DE FECHA(ULTIMO DIA 2 CADA MES)</t>
  </si>
  <si>
    <t>TOTAL MANT</t>
  </si>
  <si>
    <t>DEUDA ACUMULADA</t>
  </si>
  <si>
    <t>TOTAL</t>
  </si>
  <si>
    <t>B.1</t>
  </si>
  <si>
    <t>ALVAREZ NUÑEZ OLGA ESPERANZA</t>
  </si>
  <si>
    <t>MAURICIO FLORES HUMBERTO FLORENCIO</t>
  </si>
  <si>
    <t xml:space="preserve">VARGAS TAPIA AMPARO </t>
  </si>
  <si>
    <t xml:space="preserve">FARIAS LAVALLE CINTHIA </t>
  </si>
  <si>
    <t xml:space="preserve">LACHAPELLE CARNEIRO JORGE ARMANDO </t>
  </si>
  <si>
    <t>CASTILLO BERRU FLORENTINO</t>
  </si>
  <si>
    <t>FLORES ESCAJADILLO RAUL ALBERTO</t>
  </si>
  <si>
    <t xml:space="preserve">TEJADA VASQUEZ ROBERTO MISAEL </t>
  </si>
  <si>
    <t>MOTTA CONCHA ROXANA</t>
  </si>
  <si>
    <t>BARRETO CASTILLO FRANCISCO ALFONSO</t>
  </si>
  <si>
    <t xml:space="preserve">SILVA CUBA NATHALY GLORIA </t>
  </si>
  <si>
    <t xml:space="preserve">SOTO CORDOVA COSME </t>
  </si>
  <si>
    <t>BERRIOS BUSTAMANTE FERNANDO AUGUSTO</t>
  </si>
  <si>
    <t xml:space="preserve">GONGORA CERVANTES PERCY PEDRO </t>
  </si>
  <si>
    <t xml:space="preserve">CELESTINO BELLINA PERCY </t>
  </si>
  <si>
    <t>ANDAMAYO ENCISO MAXIMO</t>
  </si>
  <si>
    <t>ANTAYHUA POMA ELICID AMINABAD</t>
  </si>
  <si>
    <t>VILCHERREZ MENDOZA CESAR AUGUSTO</t>
  </si>
  <si>
    <t xml:space="preserve">ROCA HERMOSA PEDRO ELIAS </t>
  </si>
  <si>
    <t>OLAZABAL CASTILLO JOSE ANGEL</t>
  </si>
  <si>
    <t>VALLEJO RIOS GUILLERMO</t>
  </si>
  <si>
    <t>CHAN PARK BYUNG/BECERRA FRESIA</t>
  </si>
  <si>
    <t>BECERRA NIZUMA FRESIA SUSAN</t>
  </si>
  <si>
    <t xml:space="preserve">FLORES MARTINEZ MAX VENA </t>
  </si>
  <si>
    <t>CALDERON JIMENEZ ALEX JOSE</t>
  </si>
  <si>
    <t xml:space="preserve">CANO MENDOZA ANA MARIA </t>
  </si>
  <si>
    <t>YRUPAILLA DIAZ RONALD SMITH</t>
  </si>
  <si>
    <t xml:space="preserve">ORE SANCHEZ FIORELLA BELISA </t>
  </si>
  <si>
    <t xml:space="preserve">ALIAGA OSPINA JOSIMAR ENZO </t>
  </si>
  <si>
    <t xml:space="preserve">SALDIVAR CHOY CARLA LEONOR </t>
  </si>
  <si>
    <t xml:space="preserve">PALACIOS RUBIO LUIS </t>
  </si>
  <si>
    <t>FERNANDEZ GARGUVERICH MIGUEL ARTURO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</si>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</sst>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0"/>
      <color theme="3"/>
      <name val="Arial"/>
      <family val="2"/>
    </font>
    <font>
      <b/>
      <sz val="10.5"/>
      <name val="Arial"/>
      <family val="2"/>
    </font>
    <font>
      <b/>
      <sz val="10.5"/>
      <color theme="3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4" fillId="2" borderId="12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 applyProtection="1">
      <alignment vertical="center"/>
      <protection locked="0"/>
    </xf>
    <xf numFmtId="2" fontId="7" fillId="0" borderId="5" xfId="0" applyNumberFormat="1" applyFont="1" applyBorder="1" applyAlignment="1">
      <alignment horizontal="center"/>
    </xf>
    <xf numFmtId="43" fontId="7" fillId="0" borderId="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vertical="center"/>
    </xf>
    <xf numFmtId="2" fontId="9" fillId="3" borderId="20" xfId="0" applyNumberFormat="1" applyFont="1" applyFill="1" applyBorder="1" applyAlignment="1">
      <alignment horizontal="center" vertical="center"/>
    </xf>
    <xf numFmtId="2" fontId="9" fillId="3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 textRotation="90"/>
    </xf>
    <xf numFmtId="0" fontId="4" fillId="2" borderId="10" xfId="0" applyFont="1" applyFill="1" applyBorder="1" applyAlignment="1">
      <alignment horizontal="center" vertical="center" textRotation="90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ARCHIVOS%202026/RECIBOS%20-%202026/OCTUBRE/BLOCK%201%20oct.xlsx" TargetMode="External"/><Relationship Id="rId1" Type="http://schemas.openxmlformats.org/officeDocument/2006/relationships/externalLinkPath" Target="file:///G:/ARCHIVOS%202026/RECIBOS%20-%202026/OCTUBRE/BLOCK%201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"/>
      <sheetName val="data 2"/>
      <sheetName val="Consolidado "/>
      <sheetName val="101"/>
      <sheetName val="102"/>
      <sheetName val="103"/>
      <sheetName val="104"/>
      <sheetName val="201"/>
      <sheetName val="202"/>
      <sheetName val="203"/>
      <sheetName val="204"/>
      <sheetName val="301"/>
      <sheetName val="302"/>
      <sheetName val="303"/>
      <sheetName val="304"/>
      <sheetName val="401"/>
      <sheetName val="402"/>
      <sheetName val="403"/>
      <sheetName val="404"/>
      <sheetName val="501"/>
      <sheetName val="502"/>
      <sheetName val="503"/>
      <sheetName val="504"/>
      <sheetName val="601"/>
      <sheetName val="602"/>
      <sheetName val="603"/>
      <sheetName val="604"/>
      <sheetName val="701"/>
      <sheetName val="702"/>
      <sheetName val="703"/>
      <sheetName val="704"/>
      <sheetName val="801"/>
      <sheetName val="802"/>
      <sheetName val="803"/>
      <sheetName val="804"/>
    </sheetNames>
    <sheetDataSet>
      <sheetData sheetId="0">
        <row r="1">
          <cell r="N1" t="str">
            <v>MANTENIMIENTO DE OCTUBRE 2026</v>
          </cell>
        </row>
        <row r="5">
          <cell r="K5" t="str">
            <v>Octubre</v>
          </cell>
        </row>
        <row r="45">
          <cell r="I45" t="str">
            <v>02 DE NOVIEMBRE DE 2026</v>
          </cell>
        </row>
      </sheetData>
      <sheetData sheetId="1">
        <row r="13">
          <cell r="H13">
            <v>30.246874999999999</v>
          </cell>
        </row>
        <row r="18">
          <cell r="H18">
            <v>8.5545662100456621</v>
          </cell>
        </row>
        <row r="24">
          <cell r="H24">
            <v>21.831595275976014</v>
          </cell>
        </row>
        <row r="25">
          <cell r="H25">
            <v>75.678260922775337</v>
          </cell>
        </row>
        <row r="26">
          <cell r="H26">
            <v>23.335692081752285</v>
          </cell>
        </row>
        <row r="27">
          <cell r="H27">
            <v>42.879087626974048</v>
          </cell>
        </row>
        <row r="28">
          <cell r="H28">
            <v>42.213339860482847</v>
          </cell>
        </row>
        <row r="29">
          <cell r="H29">
            <v>56.711846775180256</v>
          </cell>
        </row>
        <row r="30">
          <cell r="H30">
            <v>55.079531881042932</v>
          </cell>
        </row>
        <row r="31">
          <cell r="H31">
            <v>110.84453738832448</v>
          </cell>
        </row>
        <row r="32">
          <cell r="H32">
            <v>94.901111247093652</v>
          </cell>
        </row>
        <row r="33">
          <cell r="H33">
            <v>54.522276343164798</v>
          </cell>
        </row>
        <row r="34">
          <cell r="H34">
            <v>5.7698139762575478</v>
          </cell>
        </row>
        <row r="35">
          <cell r="H35">
            <v>46.893300085668677</v>
          </cell>
        </row>
        <row r="36">
          <cell r="H36">
            <v>37.528448170358473</v>
          </cell>
        </row>
        <row r="37">
          <cell r="H37">
            <v>0</v>
          </cell>
        </row>
        <row r="38">
          <cell r="H38">
            <v>33.874232652062716</v>
          </cell>
        </row>
        <row r="39">
          <cell r="H39">
            <v>63.103025333496461</v>
          </cell>
        </row>
        <row r="40">
          <cell r="H40">
            <v>95.483024109656057</v>
          </cell>
        </row>
        <row r="41">
          <cell r="H41">
            <v>52.909687308776022</v>
          </cell>
        </row>
        <row r="42">
          <cell r="H42">
            <v>0.24657324684866583</v>
          </cell>
        </row>
        <row r="43">
          <cell r="H43">
            <v>62.471797821562134</v>
          </cell>
        </row>
        <row r="44">
          <cell r="H44">
            <v>26.023340472402491</v>
          </cell>
        </row>
        <row r="45">
          <cell r="H45">
            <v>102.1947478888746</v>
          </cell>
        </row>
        <row r="46">
          <cell r="H46">
            <v>30.954805409374689</v>
          </cell>
        </row>
        <row r="47">
          <cell r="H47">
            <v>33.4304008077345</v>
          </cell>
        </row>
        <row r="48">
          <cell r="H48">
            <v>32.892871129604906</v>
          </cell>
        </row>
        <row r="49">
          <cell r="H49">
            <v>0</v>
          </cell>
        </row>
        <row r="50">
          <cell r="H50">
            <v>54.754055195202618</v>
          </cell>
        </row>
        <row r="51">
          <cell r="H51">
            <v>23.572402398726958</v>
          </cell>
        </row>
        <row r="52">
          <cell r="H52">
            <v>62.629604699547116</v>
          </cell>
        </row>
        <row r="53">
          <cell r="H53">
            <v>76.422912128259583</v>
          </cell>
        </row>
        <row r="54">
          <cell r="H54">
            <v>122.014305470567</v>
          </cell>
        </row>
        <row r="55">
          <cell r="H55">
            <v>70.633372292252091</v>
          </cell>
        </row>
        <row r="66">
          <cell r="E66">
            <v>2.5315068493150683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929A-5010-4E03-BB53-E515CA2DF8DD}">
  <sheetPr>
    <pageSetUpPr fitToPage="1"/>
  </sheetPr>
  <dimension ref="A1:Q40"/>
  <sheetViews>
    <sheetView tabSelected="1" zoomScale="80" zoomScaleNormal="80" workbookViewId="0">
      <pane xSplit="3" topLeftCell="D1" activePane="topRight" state="frozen"/>
      <selection pane="topRight" activeCell="T14" sqref="T14"/>
    </sheetView>
  </sheetViews>
  <sheetFormatPr baseColWidth="10" defaultRowHeight="15" x14ac:dyDescent="0.2"/>
  <cols>
    <col min="1" max="1" width="4" bestFit="1" customWidth="1"/>
    <col min="2" max="2" width="6" bestFit="1" customWidth="1"/>
    <col min="3" max="3" width="42.6640625" customWidth="1"/>
    <col min="4" max="4" width="11.5" style="1" bestFit="1" customWidth="1"/>
    <col min="5" max="6" width="7.5" style="1" customWidth="1"/>
    <col min="7" max="7" width="8" style="2" customWidth="1"/>
    <col min="8" max="8" width="9.33203125" style="1" bestFit="1" customWidth="1"/>
    <col min="9" max="9" width="10" customWidth="1"/>
    <col min="10" max="10" width="10.5" customWidth="1"/>
    <col min="11" max="11" width="7.5" customWidth="1"/>
    <col min="12" max="12" width="8.5" customWidth="1"/>
    <col min="13" max="13" width="8.5" style="1" hidden="1" customWidth="1"/>
    <col min="14" max="14" width="10.5" style="1" customWidth="1"/>
    <col min="15" max="16" width="11.6640625" style="1" bestFit="1" customWidth="1"/>
    <col min="17" max="17" width="11.5" style="1" bestFit="1" customWidth="1"/>
  </cols>
  <sheetData>
    <row r="1" spans="1:17" x14ac:dyDescent="0.2">
      <c r="D1"/>
    </row>
    <row r="2" spans="1:17" ht="26.25" customHeight="1" x14ac:dyDescent="0.2">
      <c r="B2" s="22" t="s">
        <v>0</v>
      </c>
      <c r="C2" s="23"/>
      <c r="D2" s="24" t="str">
        <f>'[1]data 1'!N1</f>
        <v>MANTENIMIENTO DE OCTUBRE 2026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4" spans="1:17" x14ac:dyDescent="0.2">
      <c r="D4" s="3" t="s">
        <v>1</v>
      </c>
      <c r="E4" s="27" t="str">
        <f>'[1]data 1'!K5</f>
        <v>Octubre</v>
      </c>
      <c r="F4" s="28"/>
      <c r="G4" s="29" t="s">
        <v>2</v>
      </c>
      <c r="H4" s="29"/>
      <c r="I4" s="4" t="str">
        <f>'[1]data 1'!I45:K45</f>
        <v>02 DE NOVIEMBRE DE 2026</v>
      </c>
    </row>
    <row r="5" spans="1:17" ht="16" thickBot="1" x14ac:dyDescent="0.25"/>
    <row r="6" spans="1:17" ht="16" thickBot="1" x14ac:dyDescent="0.25">
      <c r="A6" s="30" t="s">
        <v>3</v>
      </c>
      <c r="B6" s="30" t="s">
        <v>4</v>
      </c>
      <c r="C6" s="32" t="s">
        <v>5</v>
      </c>
      <c r="D6" s="34" t="s">
        <v>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</row>
    <row r="7" spans="1:17" ht="156.75" customHeight="1" thickBot="1" x14ac:dyDescent="0.25">
      <c r="A7" s="31"/>
      <c r="B7" s="31"/>
      <c r="C7" s="33"/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7" t="s">
        <v>18</v>
      </c>
      <c r="P7" s="6" t="s">
        <v>19</v>
      </c>
      <c r="Q7" s="8" t="s">
        <v>20</v>
      </c>
    </row>
    <row r="8" spans="1:17" x14ac:dyDescent="0.2">
      <c r="A8" s="9" t="s">
        <v>21</v>
      </c>
      <c r="B8" s="10">
        <v>101</v>
      </c>
      <c r="C8" s="11" t="s">
        <v>22</v>
      </c>
      <c r="D8" s="12">
        <v>123.69</v>
      </c>
      <c r="E8" s="12">
        <f>'[1]data 2'!$H$18</f>
        <v>8.5545662100456621</v>
      </c>
      <c r="F8" s="12">
        <f>'[1]data 2'!$H$13</f>
        <v>30.246874999999999</v>
      </c>
      <c r="G8" s="13">
        <f>'[1]data 2'!$E$66</f>
        <v>2.5315068493150683</v>
      </c>
      <c r="H8" s="12">
        <f>'[1]data 2'!H24</f>
        <v>21.831595275976014</v>
      </c>
      <c r="I8" s="12">
        <v>15</v>
      </c>
      <c r="J8" s="12">
        <v>3</v>
      </c>
      <c r="K8" s="12">
        <v>13</v>
      </c>
      <c r="L8" s="12">
        <v>5.5</v>
      </c>
      <c r="M8" s="12">
        <v>0</v>
      </c>
      <c r="N8" s="12">
        <v>0</v>
      </c>
      <c r="O8" s="12">
        <f>SUM(D8:N8)</f>
        <v>223.35454333533673</v>
      </c>
      <c r="P8" s="12">
        <v>0</v>
      </c>
      <c r="Q8" s="14">
        <f>O8+P8</f>
        <v>223.35454333533673</v>
      </c>
    </row>
    <row r="9" spans="1:17" x14ac:dyDescent="0.2">
      <c r="A9" s="9" t="s">
        <v>21</v>
      </c>
      <c r="B9" s="10">
        <v>102</v>
      </c>
      <c r="C9" s="11" t="s">
        <v>23</v>
      </c>
      <c r="D9" s="12">
        <v>123.69</v>
      </c>
      <c r="E9" s="12">
        <f>'[1]data 2'!$H$18</f>
        <v>8.5545662100456621</v>
      </c>
      <c r="F9" s="12">
        <f>'[1]data 2'!$H$13</f>
        <v>30.246874999999999</v>
      </c>
      <c r="G9" s="13">
        <f>'[1]data 2'!$E$66</f>
        <v>2.5315068493150683</v>
      </c>
      <c r="H9" s="12">
        <f>'[1]data 2'!H25</f>
        <v>75.678260922775337</v>
      </c>
      <c r="I9" s="12">
        <v>15</v>
      </c>
      <c r="J9" s="12">
        <v>3</v>
      </c>
      <c r="K9" s="12">
        <v>13</v>
      </c>
      <c r="L9" s="12">
        <v>5.5</v>
      </c>
      <c r="M9" s="12">
        <v>0</v>
      </c>
      <c r="N9" s="12">
        <v>0</v>
      </c>
      <c r="O9" s="12">
        <f t="shared" ref="O9:O39" si="0">SUM(D9:N9)</f>
        <v>277.20120898213605</v>
      </c>
      <c r="P9" s="12">
        <v>0</v>
      </c>
      <c r="Q9" s="14">
        <f t="shared" ref="Q9:Q39" si="1">O9+P9</f>
        <v>277.20120898213605</v>
      </c>
    </row>
    <row r="10" spans="1:17" x14ac:dyDescent="0.2">
      <c r="A10" s="9" t="s">
        <v>21</v>
      </c>
      <c r="B10" s="10">
        <v>103</v>
      </c>
      <c r="C10" s="11" t="s">
        <v>24</v>
      </c>
      <c r="D10" s="12">
        <v>123.69</v>
      </c>
      <c r="E10" s="12">
        <f>'[1]data 2'!$H$18</f>
        <v>8.5545662100456621</v>
      </c>
      <c r="F10" s="12">
        <f>'[1]data 2'!$H$13</f>
        <v>30.246874999999999</v>
      </c>
      <c r="G10" s="13">
        <f>'[1]data 2'!$E$66</f>
        <v>2.5315068493150683</v>
      </c>
      <c r="H10" s="12">
        <f>'[1]data 2'!H26</f>
        <v>23.335692081752285</v>
      </c>
      <c r="I10" s="12">
        <v>15</v>
      </c>
      <c r="J10" s="12">
        <v>3</v>
      </c>
      <c r="K10" s="12">
        <v>13</v>
      </c>
      <c r="L10" s="12">
        <v>5.5</v>
      </c>
      <c r="M10" s="12">
        <v>0</v>
      </c>
      <c r="N10" s="12">
        <v>0</v>
      </c>
      <c r="O10" s="12">
        <f t="shared" si="0"/>
        <v>224.858640141113</v>
      </c>
      <c r="P10" s="12">
        <v>0</v>
      </c>
      <c r="Q10" s="14">
        <f t="shared" si="1"/>
        <v>224.858640141113</v>
      </c>
    </row>
    <row r="11" spans="1:17" x14ac:dyDescent="0.2">
      <c r="A11" s="9" t="s">
        <v>21</v>
      </c>
      <c r="B11" s="10">
        <v>104</v>
      </c>
      <c r="C11" s="11" t="s">
        <v>25</v>
      </c>
      <c r="D11" s="12">
        <v>123.69</v>
      </c>
      <c r="E11" s="12">
        <f>'[1]data 2'!$H$18</f>
        <v>8.5545662100456621</v>
      </c>
      <c r="F11" s="12">
        <f>'[1]data 2'!$H$13</f>
        <v>30.246874999999999</v>
      </c>
      <c r="G11" s="13">
        <f>'[1]data 2'!$E$66</f>
        <v>2.5315068493150683</v>
      </c>
      <c r="H11" s="12">
        <f>'[1]data 2'!H27</f>
        <v>42.879087626974048</v>
      </c>
      <c r="I11" s="12">
        <v>15</v>
      </c>
      <c r="J11" s="12">
        <v>3</v>
      </c>
      <c r="K11" s="12">
        <v>13</v>
      </c>
      <c r="L11" s="12">
        <v>5.5</v>
      </c>
      <c r="M11" s="12">
        <v>0</v>
      </c>
      <c r="N11" s="12">
        <v>0</v>
      </c>
      <c r="O11" s="12">
        <f t="shared" si="0"/>
        <v>244.40203568633476</v>
      </c>
      <c r="P11" s="12">
        <v>0</v>
      </c>
      <c r="Q11" s="14">
        <f t="shared" si="1"/>
        <v>244.40203568633476</v>
      </c>
    </row>
    <row r="12" spans="1:17" x14ac:dyDescent="0.2">
      <c r="A12" s="9" t="s">
        <v>21</v>
      </c>
      <c r="B12" s="10">
        <v>201</v>
      </c>
      <c r="C12" s="11" t="s">
        <v>26</v>
      </c>
      <c r="D12" s="12">
        <v>123.69</v>
      </c>
      <c r="E12" s="12">
        <f>'[1]data 2'!$H$18</f>
        <v>8.5545662100456621</v>
      </c>
      <c r="F12" s="12">
        <f>'[1]data 2'!$H$13</f>
        <v>30.246874999999999</v>
      </c>
      <c r="G12" s="13">
        <f>'[1]data 2'!$E$66</f>
        <v>2.5315068493150683</v>
      </c>
      <c r="H12" s="12">
        <f>'[1]data 2'!H28</f>
        <v>42.213339860482847</v>
      </c>
      <c r="I12" s="12">
        <v>15</v>
      </c>
      <c r="J12" s="12">
        <v>3</v>
      </c>
      <c r="K12" s="12">
        <v>13</v>
      </c>
      <c r="L12" s="12">
        <v>5.5</v>
      </c>
      <c r="M12" s="12">
        <v>0</v>
      </c>
      <c r="N12" s="12">
        <v>0</v>
      </c>
      <c r="O12" s="12">
        <f t="shared" si="0"/>
        <v>243.73628791984356</v>
      </c>
      <c r="P12" s="12">
        <v>0</v>
      </c>
      <c r="Q12" s="14">
        <f t="shared" si="1"/>
        <v>243.73628791984356</v>
      </c>
    </row>
    <row r="13" spans="1:17" x14ac:dyDescent="0.2">
      <c r="A13" s="9" t="s">
        <v>21</v>
      </c>
      <c r="B13" s="10">
        <v>202</v>
      </c>
      <c r="C13" s="11" t="s">
        <v>27</v>
      </c>
      <c r="D13" s="12">
        <v>123.69</v>
      </c>
      <c r="E13" s="12">
        <f>'[1]data 2'!$H$18</f>
        <v>8.5545662100456621</v>
      </c>
      <c r="F13" s="12">
        <f>'[1]data 2'!$H$13</f>
        <v>30.246874999999999</v>
      </c>
      <c r="G13" s="13">
        <f>'[1]data 2'!$E$66</f>
        <v>2.5315068493150683</v>
      </c>
      <c r="H13" s="12">
        <f>'[1]data 2'!H29</f>
        <v>56.711846775180256</v>
      </c>
      <c r="I13" s="12">
        <v>15</v>
      </c>
      <c r="J13" s="12">
        <v>3</v>
      </c>
      <c r="K13" s="12">
        <v>13</v>
      </c>
      <c r="L13" s="12">
        <v>5.5</v>
      </c>
      <c r="M13" s="12">
        <v>0</v>
      </c>
      <c r="N13" s="12">
        <v>0</v>
      </c>
      <c r="O13" s="12">
        <f t="shared" si="0"/>
        <v>258.23479483454093</v>
      </c>
      <c r="P13" s="12">
        <v>0</v>
      </c>
      <c r="Q13" s="14">
        <f t="shared" si="1"/>
        <v>258.23479483454093</v>
      </c>
    </row>
    <row r="14" spans="1:17" x14ac:dyDescent="0.2">
      <c r="A14" s="9" t="s">
        <v>21</v>
      </c>
      <c r="B14" s="10">
        <v>203</v>
      </c>
      <c r="C14" s="11" t="s">
        <v>28</v>
      </c>
      <c r="D14" s="12">
        <v>123.69</v>
      </c>
      <c r="E14" s="12">
        <f>'[1]data 2'!$H$18</f>
        <v>8.5545662100456621</v>
      </c>
      <c r="F14" s="12">
        <f>'[1]data 2'!$H$13</f>
        <v>30.246874999999999</v>
      </c>
      <c r="G14" s="13">
        <f>'[1]data 2'!$E$66</f>
        <v>2.5315068493150683</v>
      </c>
      <c r="H14" s="12">
        <f>'[1]data 2'!H30</f>
        <v>55.079531881042932</v>
      </c>
      <c r="I14" s="12">
        <v>15</v>
      </c>
      <c r="J14" s="12">
        <v>3</v>
      </c>
      <c r="K14" s="12">
        <v>13</v>
      </c>
      <c r="L14" s="12">
        <v>5.5</v>
      </c>
      <c r="M14" s="12">
        <v>0</v>
      </c>
      <c r="N14" s="12">
        <v>0</v>
      </c>
      <c r="O14" s="12">
        <f t="shared" si="0"/>
        <v>256.60247994040367</v>
      </c>
      <c r="P14" s="12">
        <v>0</v>
      </c>
      <c r="Q14" s="14">
        <f t="shared" si="1"/>
        <v>256.60247994040367</v>
      </c>
    </row>
    <row r="15" spans="1:17" x14ac:dyDescent="0.2">
      <c r="A15" s="9" t="s">
        <v>21</v>
      </c>
      <c r="B15" s="10">
        <v>204</v>
      </c>
      <c r="C15" s="11" t="s">
        <v>29</v>
      </c>
      <c r="D15" s="12">
        <v>123.69</v>
      </c>
      <c r="E15" s="12">
        <f>'[1]data 2'!$H$18</f>
        <v>8.5545662100456621</v>
      </c>
      <c r="F15" s="12">
        <f>'[1]data 2'!$H$13</f>
        <v>30.246874999999999</v>
      </c>
      <c r="G15" s="13">
        <f>'[1]data 2'!$E$66</f>
        <v>2.5315068493150683</v>
      </c>
      <c r="H15" s="12">
        <f>'[1]data 2'!H31</f>
        <v>110.84453738832448</v>
      </c>
      <c r="I15" s="12">
        <v>15</v>
      </c>
      <c r="J15" s="12">
        <v>3</v>
      </c>
      <c r="K15" s="12">
        <v>13</v>
      </c>
      <c r="L15" s="12">
        <v>5.5</v>
      </c>
      <c r="M15" s="12">
        <v>0</v>
      </c>
      <c r="N15" s="12">
        <v>0</v>
      </c>
      <c r="O15" s="12">
        <f t="shared" si="0"/>
        <v>312.36748544768523</v>
      </c>
      <c r="P15" s="12">
        <v>0</v>
      </c>
      <c r="Q15" s="14">
        <f t="shared" si="1"/>
        <v>312.36748544768523</v>
      </c>
    </row>
    <row r="16" spans="1:17" x14ac:dyDescent="0.2">
      <c r="A16" s="9" t="s">
        <v>21</v>
      </c>
      <c r="B16" s="10">
        <v>301</v>
      </c>
      <c r="C16" s="11" t="s">
        <v>30</v>
      </c>
      <c r="D16" s="12">
        <v>123.69</v>
      </c>
      <c r="E16" s="12">
        <f>'[1]data 2'!$H$18</f>
        <v>8.5545662100456621</v>
      </c>
      <c r="F16" s="12">
        <f>'[1]data 2'!$H$13</f>
        <v>30.246874999999999</v>
      </c>
      <c r="G16" s="13">
        <f>'[1]data 2'!$E$66</f>
        <v>2.5315068493150683</v>
      </c>
      <c r="H16" s="12">
        <f>'[1]data 2'!H32</f>
        <v>94.901111247093652</v>
      </c>
      <c r="I16" s="12">
        <v>15</v>
      </c>
      <c r="J16" s="12">
        <v>3</v>
      </c>
      <c r="K16" s="12">
        <v>13</v>
      </c>
      <c r="L16" s="12">
        <v>5.5</v>
      </c>
      <c r="M16" s="12">
        <v>0</v>
      </c>
      <c r="N16" s="12">
        <v>0</v>
      </c>
      <c r="O16" s="12">
        <f t="shared" si="0"/>
        <v>296.42405930645435</v>
      </c>
      <c r="P16" s="12">
        <v>0</v>
      </c>
      <c r="Q16" s="14">
        <f t="shared" si="1"/>
        <v>296.42405930645435</v>
      </c>
    </row>
    <row r="17" spans="1:17" x14ac:dyDescent="0.2">
      <c r="A17" s="9" t="s">
        <v>21</v>
      </c>
      <c r="B17" s="10">
        <v>302</v>
      </c>
      <c r="C17" s="11" t="s">
        <v>31</v>
      </c>
      <c r="D17" s="12">
        <v>123.69</v>
      </c>
      <c r="E17" s="12">
        <f>'[1]data 2'!$H$18</f>
        <v>8.5545662100456621</v>
      </c>
      <c r="F17" s="12">
        <f>'[1]data 2'!$H$13</f>
        <v>30.246874999999999</v>
      </c>
      <c r="G17" s="13">
        <f>'[1]data 2'!$E$66</f>
        <v>2.5315068493150683</v>
      </c>
      <c r="H17" s="12">
        <f>'[1]data 2'!H33</f>
        <v>54.522276343164798</v>
      </c>
      <c r="I17" s="12">
        <v>15</v>
      </c>
      <c r="J17" s="12">
        <v>3</v>
      </c>
      <c r="K17" s="12">
        <v>13</v>
      </c>
      <c r="L17" s="12">
        <v>5.5</v>
      </c>
      <c r="M17" s="12">
        <v>0</v>
      </c>
      <c r="N17" s="12">
        <v>0</v>
      </c>
      <c r="O17" s="12">
        <f t="shared" si="0"/>
        <v>256.04522440252549</v>
      </c>
      <c r="P17" s="12">
        <v>0</v>
      </c>
      <c r="Q17" s="14">
        <f t="shared" si="1"/>
        <v>256.04522440252549</v>
      </c>
    </row>
    <row r="18" spans="1:17" x14ac:dyDescent="0.2">
      <c r="A18" s="9" t="s">
        <v>21</v>
      </c>
      <c r="B18" s="10">
        <v>303</v>
      </c>
      <c r="C18" s="11" t="s">
        <v>32</v>
      </c>
      <c r="D18" s="12">
        <v>123.69</v>
      </c>
      <c r="E18" s="12">
        <f>'[1]data 2'!$H$18</f>
        <v>8.5545662100456621</v>
      </c>
      <c r="F18" s="12">
        <f>'[1]data 2'!$H$13</f>
        <v>30.246874999999999</v>
      </c>
      <c r="G18" s="13">
        <f>'[1]data 2'!$E$66</f>
        <v>2.5315068493150683</v>
      </c>
      <c r="H18" s="12">
        <f>'[1]data 2'!H34</f>
        <v>5.7698139762575478</v>
      </c>
      <c r="I18" s="12">
        <v>15</v>
      </c>
      <c r="J18" s="12">
        <v>3</v>
      </c>
      <c r="K18" s="12">
        <v>13</v>
      </c>
      <c r="L18" s="12">
        <v>5.5</v>
      </c>
      <c r="M18" s="12">
        <v>0</v>
      </c>
      <c r="N18" s="12">
        <v>0</v>
      </c>
      <c r="O18" s="12">
        <f t="shared" si="0"/>
        <v>207.29276203561827</v>
      </c>
      <c r="P18" s="12">
        <v>0</v>
      </c>
      <c r="Q18" s="14">
        <f t="shared" si="1"/>
        <v>207.29276203561827</v>
      </c>
    </row>
    <row r="19" spans="1:17" x14ac:dyDescent="0.2">
      <c r="A19" s="9" t="s">
        <v>21</v>
      </c>
      <c r="B19" s="10">
        <v>304</v>
      </c>
      <c r="C19" s="11" t="s">
        <v>33</v>
      </c>
      <c r="D19" s="12">
        <v>123.69</v>
      </c>
      <c r="E19" s="12">
        <f>'[1]data 2'!$H$18</f>
        <v>8.5545662100456621</v>
      </c>
      <c r="F19" s="12">
        <f>'[1]data 2'!$H$13</f>
        <v>30.246874999999999</v>
      </c>
      <c r="G19" s="13">
        <f>'[1]data 2'!$E$66</f>
        <v>2.5315068493150683</v>
      </c>
      <c r="H19" s="12">
        <f>'[1]data 2'!H35</f>
        <v>46.893300085668677</v>
      </c>
      <c r="I19" s="12">
        <v>15</v>
      </c>
      <c r="J19" s="12">
        <v>3</v>
      </c>
      <c r="K19" s="12">
        <v>13</v>
      </c>
      <c r="L19" s="12">
        <v>5.5</v>
      </c>
      <c r="M19" s="12">
        <v>0</v>
      </c>
      <c r="N19" s="12">
        <v>0</v>
      </c>
      <c r="O19" s="12">
        <f t="shared" si="0"/>
        <v>248.41624814502939</v>
      </c>
      <c r="P19" s="12">
        <v>0</v>
      </c>
      <c r="Q19" s="14">
        <f t="shared" si="1"/>
        <v>248.41624814502939</v>
      </c>
    </row>
    <row r="20" spans="1:17" x14ac:dyDescent="0.2">
      <c r="A20" s="9" t="s">
        <v>21</v>
      </c>
      <c r="B20" s="10">
        <v>401</v>
      </c>
      <c r="C20" s="11" t="s">
        <v>34</v>
      </c>
      <c r="D20" s="12">
        <v>123.69</v>
      </c>
      <c r="E20" s="12">
        <f>'[1]data 2'!$H$18</f>
        <v>8.5545662100456621</v>
      </c>
      <c r="F20" s="12">
        <f>'[1]data 2'!$H$13</f>
        <v>30.246874999999999</v>
      </c>
      <c r="G20" s="13">
        <f>'[1]data 2'!$E$66</f>
        <v>2.5315068493150683</v>
      </c>
      <c r="H20" s="12">
        <f>'[1]data 2'!H36</f>
        <v>37.528448170358473</v>
      </c>
      <c r="I20" s="12">
        <v>15</v>
      </c>
      <c r="J20" s="12">
        <v>3</v>
      </c>
      <c r="K20" s="12">
        <v>13</v>
      </c>
      <c r="L20" s="12">
        <v>5.5</v>
      </c>
      <c r="M20" s="12">
        <v>0</v>
      </c>
      <c r="N20" s="12">
        <v>0</v>
      </c>
      <c r="O20" s="12">
        <f t="shared" si="0"/>
        <v>239.05139622971919</v>
      </c>
      <c r="P20" s="12">
        <v>0</v>
      </c>
      <c r="Q20" s="14">
        <f t="shared" si="1"/>
        <v>239.05139622971919</v>
      </c>
    </row>
    <row r="21" spans="1:17" x14ac:dyDescent="0.2">
      <c r="A21" s="9" t="s">
        <v>21</v>
      </c>
      <c r="B21" s="10">
        <v>402</v>
      </c>
      <c r="C21" s="11" t="s">
        <v>35</v>
      </c>
      <c r="D21" s="12">
        <v>123.69</v>
      </c>
      <c r="E21" s="12">
        <f>'[1]data 2'!$H$18</f>
        <v>8.5545662100456621</v>
      </c>
      <c r="F21" s="12">
        <f>'[1]data 2'!$H$13</f>
        <v>30.246874999999999</v>
      </c>
      <c r="G21" s="13">
        <f>'[1]data 2'!$E$66</f>
        <v>2.5315068493150683</v>
      </c>
      <c r="H21" s="12">
        <f>'[1]data 2'!H37</f>
        <v>0</v>
      </c>
      <c r="I21" s="12">
        <v>15</v>
      </c>
      <c r="J21" s="12">
        <v>3</v>
      </c>
      <c r="K21" s="12">
        <v>13</v>
      </c>
      <c r="L21" s="12">
        <v>5.5</v>
      </c>
      <c r="M21" s="12">
        <v>0</v>
      </c>
      <c r="N21" s="12">
        <v>0</v>
      </c>
      <c r="O21" s="12">
        <f t="shared" si="0"/>
        <v>201.52294805936071</v>
      </c>
      <c r="P21" s="12">
        <v>0</v>
      </c>
      <c r="Q21" s="14">
        <f t="shared" si="1"/>
        <v>201.52294805936071</v>
      </c>
    </row>
    <row r="22" spans="1:17" x14ac:dyDescent="0.2">
      <c r="A22" s="9" t="s">
        <v>21</v>
      </c>
      <c r="B22" s="10">
        <v>403</v>
      </c>
      <c r="C22" s="11" t="s">
        <v>36</v>
      </c>
      <c r="D22" s="12">
        <v>123.69</v>
      </c>
      <c r="E22" s="12">
        <f>'[1]data 2'!$H$18</f>
        <v>8.5545662100456621</v>
      </c>
      <c r="F22" s="12">
        <f>'[1]data 2'!$H$13</f>
        <v>30.246874999999999</v>
      </c>
      <c r="G22" s="13">
        <f>'[1]data 2'!$E$66</f>
        <v>2.5315068493150683</v>
      </c>
      <c r="H22" s="12">
        <f>'[1]data 2'!H38</f>
        <v>33.874232652062716</v>
      </c>
      <c r="I22" s="12">
        <v>15</v>
      </c>
      <c r="J22" s="12">
        <v>3</v>
      </c>
      <c r="K22" s="12">
        <v>13</v>
      </c>
      <c r="L22" s="12">
        <v>5.5</v>
      </c>
      <c r="M22" s="12">
        <v>0</v>
      </c>
      <c r="N22" s="12">
        <v>0</v>
      </c>
      <c r="O22" s="12">
        <f t="shared" si="0"/>
        <v>235.39718071142343</v>
      </c>
      <c r="P22" s="12">
        <v>0</v>
      </c>
      <c r="Q22" s="14">
        <f t="shared" si="1"/>
        <v>235.39718071142343</v>
      </c>
    </row>
    <row r="23" spans="1:17" x14ac:dyDescent="0.2">
      <c r="A23" s="9" t="s">
        <v>21</v>
      </c>
      <c r="B23" s="10">
        <v>404</v>
      </c>
      <c r="C23" s="11" t="s">
        <v>37</v>
      </c>
      <c r="D23" s="12">
        <v>123.69</v>
      </c>
      <c r="E23" s="12">
        <f>'[1]data 2'!$H$18</f>
        <v>8.5545662100456621</v>
      </c>
      <c r="F23" s="12">
        <f>'[1]data 2'!$H$13</f>
        <v>30.246874999999999</v>
      </c>
      <c r="G23" s="13">
        <f>'[1]data 2'!$E$66</f>
        <v>2.5315068493150683</v>
      </c>
      <c r="H23" s="12">
        <f>'[1]data 2'!H39</f>
        <v>63.103025333496461</v>
      </c>
      <c r="I23" s="12">
        <v>15</v>
      </c>
      <c r="J23" s="12">
        <v>3</v>
      </c>
      <c r="K23" s="12">
        <v>13</v>
      </c>
      <c r="L23" s="12">
        <v>5.5</v>
      </c>
      <c r="M23" s="12">
        <v>0</v>
      </c>
      <c r="N23" s="12">
        <v>0</v>
      </c>
      <c r="O23" s="12">
        <f t="shared" si="0"/>
        <v>264.62597339285719</v>
      </c>
      <c r="P23" s="12">
        <v>0</v>
      </c>
      <c r="Q23" s="14">
        <f t="shared" si="1"/>
        <v>264.62597339285719</v>
      </c>
    </row>
    <row r="24" spans="1:17" x14ac:dyDescent="0.2">
      <c r="A24" s="9" t="s">
        <v>21</v>
      </c>
      <c r="B24" s="10">
        <v>501</v>
      </c>
      <c r="C24" s="11" t="s">
        <v>38</v>
      </c>
      <c r="D24" s="12">
        <v>123.69</v>
      </c>
      <c r="E24" s="12">
        <f>'[1]data 2'!$H$18</f>
        <v>8.5545662100456621</v>
      </c>
      <c r="F24" s="12">
        <f>'[1]data 2'!$H$13</f>
        <v>30.246874999999999</v>
      </c>
      <c r="G24" s="13">
        <f>'[1]data 2'!$E$66</f>
        <v>2.5315068493150683</v>
      </c>
      <c r="H24" s="12">
        <f>'[1]data 2'!H40</f>
        <v>95.483024109656057</v>
      </c>
      <c r="I24" s="12">
        <v>15</v>
      </c>
      <c r="J24" s="12">
        <v>3</v>
      </c>
      <c r="K24" s="12">
        <v>13</v>
      </c>
      <c r="L24" s="12">
        <v>5.5</v>
      </c>
      <c r="M24" s="12">
        <v>0</v>
      </c>
      <c r="N24" s="12">
        <v>0</v>
      </c>
      <c r="O24" s="12">
        <f t="shared" si="0"/>
        <v>297.00597216901679</v>
      </c>
      <c r="P24" s="12">
        <v>0</v>
      </c>
      <c r="Q24" s="14">
        <f t="shared" si="1"/>
        <v>297.00597216901679</v>
      </c>
    </row>
    <row r="25" spans="1:17" x14ac:dyDescent="0.2">
      <c r="A25" s="9" t="s">
        <v>21</v>
      </c>
      <c r="B25" s="10">
        <v>502</v>
      </c>
      <c r="C25" s="11" t="s">
        <v>39</v>
      </c>
      <c r="D25" s="12">
        <v>123.69</v>
      </c>
      <c r="E25" s="12">
        <f>'[1]data 2'!$H$18</f>
        <v>8.5545662100456621</v>
      </c>
      <c r="F25" s="12">
        <f>'[1]data 2'!$H$13</f>
        <v>30.246874999999999</v>
      </c>
      <c r="G25" s="13">
        <f>'[1]data 2'!$E$66</f>
        <v>2.5315068493150683</v>
      </c>
      <c r="H25" s="12">
        <f>'[1]data 2'!H41</f>
        <v>52.909687308776022</v>
      </c>
      <c r="I25" s="12">
        <v>15</v>
      </c>
      <c r="J25" s="12">
        <v>3</v>
      </c>
      <c r="K25" s="12">
        <v>13</v>
      </c>
      <c r="L25" s="12">
        <v>5.5</v>
      </c>
      <c r="M25" s="12">
        <v>0</v>
      </c>
      <c r="N25" s="12">
        <v>0</v>
      </c>
      <c r="O25" s="12">
        <f t="shared" si="0"/>
        <v>254.43263536813674</v>
      </c>
      <c r="P25" s="12">
        <v>0</v>
      </c>
      <c r="Q25" s="14">
        <f t="shared" si="1"/>
        <v>254.43263536813674</v>
      </c>
    </row>
    <row r="26" spans="1:17" x14ac:dyDescent="0.2">
      <c r="A26" s="9" t="s">
        <v>21</v>
      </c>
      <c r="B26" s="10">
        <v>503</v>
      </c>
      <c r="C26" s="11" t="s">
        <v>40</v>
      </c>
      <c r="D26" s="12">
        <v>123.69</v>
      </c>
      <c r="E26" s="12">
        <f>'[1]data 2'!$H$18</f>
        <v>8.5545662100456621</v>
      </c>
      <c r="F26" s="12">
        <f>'[1]data 2'!$H$13</f>
        <v>30.246874999999999</v>
      </c>
      <c r="G26" s="13">
        <f>'[1]data 2'!$E$66</f>
        <v>2.5315068493150683</v>
      </c>
      <c r="H26" s="12">
        <f>'[1]data 2'!H42</f>
        <v>0.24657324684866583</v>
      </c>
      <c r="I26" s="12">
        <v>15</v>
      </c>
      <c r="J26" s="12">
        <v>3</v>
      </c>
      <c r="K26" s="12">
        <v>13</v>
      </c>
      <c r="L26" s="12">
        <v>5.5</v>
      </c>
      <c r="M26" s="12">
        <v>0</v>
      </c>
      <c r="N26" s="12">
        <v>0</v>
      </c>
      <c r="O26" s="12">
        <f t="shared" si="0"/>
        <v>201.76952130620938</v>
      </c>
      <c r="P26" s="12">
        <v>0</v>
      </c>
      <c r="Q26" s="14">
        <f t="shared" si="1"/>
        <v>201.76952130620938</v>
      </c>
    </row>
    <row r="27" spans="1:17" x14ac:dyDescent="0.2">
      <c r="A27" s="9" t="s">
        <v>21</v>
      </c>
      <c r="B27" s="10">
        <v>504</v>
      </c>
      <c r="C27" s="11" t="s">
        <v>41</v>
      </c>
      <c r="D27" s="12">
        <v>123.69</v>
      </c>
      <c r="E27" s="12">
        <f>'[1]data 2'!$H$18</f>
        <v>8.5545662100456621</v>
      </c>
      <c r="F27" s="12">
        <f>'[1]data 2'!$H$13</f>
        <v>30.246874999999999</v>
      </c>
      <c r="G27" s="13">
        <f>'[1]data 2'!$E$66</f>
        <v>2.5315068493150683</v>
      </c>
      <c r="H27" s="12">
        <f>'[1]data 2'!H43</f>
        <v>62.471797821562134</v>
      </c>
      <c r="I27" s="12">
        <v>15</v>
      </c>
      <c r="J27" s="12">
        <v>3</v>
      </c>
      <c r="K27" s="12">
        <v>13</v>
      </c>
      <c r="L27" s="12">
        <v>5.5</v>
      </c>
      <c r="M27" s="12">
        <v>0</v>
      </c>
      <c r="N27" s="12">
        <v>0</v>
      </c>
      <c r="O27" s="12">
        <f t="shared" si="0"/>
        <v>263.99474588092284</v>
      </c>
      <c r="P27" s="12">
        <v>0</v>
      </c>
      <c r="Q27" s="14">
        <f t="shared" si="1"/>
        <v>263.99474588092284</v>
      </c>
    </row>
    <row r="28" spans="1:17" x14ac:dyDescent="0.2">
      <c r="A28" s="9" t="s">
        <v>21</v>
      </c>
      <c r="B28" s="10">
        <v>601</v>
      </c>
      <c r="C28" s="11" t="s">
        <v>42</v>
      </c>
      <c r="D28" s="12">
        <v>123.69</v>
      </c>
      <c r="E28" s="12">
        <f>'[1]data 2'!$H$18</f>
        <v>8.5545662100456621</v>
      </c>
      <c r="F28" s="12">
        <f>'[1]data 2'!$H$13</f>
        <v>30.246874999999999</v>
      </c>
      <c r="G28" s="13">
        <f>'[1]data 2'!$E$66</f>
        <v>2.5315068493150683</v>
      </c>
      <c r="H28" s="12">
        <f>'[1]data 2'!H44</f>
        <v>26.023340472402491</v>
      </c>
      <c r="I28" s="12">
        <v>15</v>
      </c>
      <c r="J28" s="12">
        <v>3</v>
      </c>
      <c r="K28" s="12">
        <v>13</v>
      </c>
      <c r="L28" s="12">
        <v>5.5</v>
      </c>
      <c r="M28" s="12">
        <v>0</v>
      </c>
      <c r="N28" s="12">
        <v>0</v>
      </c>
      <c r="O28" s="12">
        <f t="shared" si="0"/>
        <v>227.5462885317632</v>
      </c>
      <c r="P28" s="12">
        <v>0</v>
      </c>
      <c r="Q28" s="14">
        <f t="shared" si="1"/>
        <v>227.5462885317632</v>
      </c>
    </row>
    <row r="29" spans="1:17" x14ac:dyDescent="0.2">
      <c r="A29" s="9" t="s">
        <v>21</v>
      </c>
      <c r="B29" s="10">
        <v>602</v>
      </c>
      <c r="C29" s="11" t="s">
        <v>43</v>
      </c>
      <c r="D29" s="12">
        <v>123.69</v>
      </c>
      <c r="E29" s="12">
        <f>'[1]data 2'!$H$18</f>
        <v>8.5545662100456621</v>
      </c>
      <c r="F29" s="12">
        <f>'[1]data 2'!$H$13</f>
        <v>30.246874999999999</v>
      </c>
      <c r="G29" s="13">
        <f>'[1]data 2'!$E$66</f>
        <v>2.5315068493150683</v>
      </c>
      <c r="H29" s="12">
        <f>'[1]data 2'!H45</f>
        <v>102.1947478888746</v>
      </c>
      <c r="I29" s="12">
        <v>15</v>
      </c>
      <c r="J29" s="12">
        <v>3</v>
      </c>
      <c r="K29" s="12">
        <v>13</v>
      </c>
      <c r="L29" s="12">
        <v>5.5</v>
      </c>
      <c r="M29" s="12">
        <v>0</v>
      </c>
      <c r="N29" s="12">
        <v>0</v>
      </c>
      <c r="O29" s="12">
        <f t="shared" si="0"/>
        <v>303.7176959482353</v>
      </c>
      <c r="P29" s="12">
        <v>0</v>
      </c>
      <c r="Q29" s="14">
        <f t="shared" si="1"/>
        <v>303.7176959482353</v>
      </c>
    </row>
    <row r="30" spans="1:17" x14ac:dyDescent="0.2">
      <c r="A30" s="9" t="s">
        <v>21</v>
      </c>
      <c r="B30" s="10">
        <v>603</v>
      </c>
      <c r="C30" s="11" t="s">
        <v>44</v>
      </c>
      <c r="D30" s="12">
        <v>123.69</v>
      </c>
      <c r="E30" s="12">
        <f>'[1]data 2'!$H$18</f>
        <v>8.5545662100456621</v>
      </c>
      <c r="F30" s="12">
        <f>'[1]data 2'!$H$13</f>
        <v>30.246874999999999</v>
      </c>
      <c r="G30" s="13">
        <f>'[1]data 2'!$E$66</f>
        <v>2.5315068493150683</v>
      </c>
      <c r="H30" s="12">
        <f>'[1]data 2'!H46</f>
        <v>30.954805409374689</v>
      </c>
      <c r="I30" s="12">
        <v>15</v>
      </c>
      <c r="J30" s="12">
        <v>3</v>
      </c>
      <c r="K30" s="12">
        <v>13</v>
      </c>
      <c r="L30" s="12">
        <v>5.5</v>
      </c>
      <c r="M30" s="12">
        <v>0</v>
      </c>
      <c r="N30" s="12">
        <v>0</v>
      </c>
      <c r="O30" s="12">
        <f t="shared" si="0"/>
        <v>232.47775346873541</v>
      </c>
      <c r="P30" s="12">
        <v>0</v>
      </c>
      <c r="Q30" s="14">
        <f t="shared" si="1"/>
        <v>232.47775346873541</v>
      </c>
    </row>
    <row r="31" spans="1:17" x14ac:dyDescent="0.2">
      <c r="A31" s="9" t="s">
        <v>21</v>
      </c>
      <c r="B31" s="10">
        <v>604</v>
      </c>
      <c r="C31" s="11" t="s">
        <v>45</v>
      </c>
      <c r="D31" s="12">
        <v>123.69</v>
      </c>
      <c r="E31" s="12">
        <f>'[1]data 2'!$H$18</f>
        <v>8.5545662100456621</v>
      </c>
      <c r="F31" s="12">
        <f>'[1]data 2'!$H$13</f>
        <v>30.246874999999999</v>
      </c>
      <c r="G31" s="13">
        <f>'[1]data 2'!$E$66</f>
        <v>2.5315068493150683</v>
      </c>
      <c r="H31" s="12">
        <f>'[1]data 2'!H47</f>
        <v>33.4304008077345</v>
      </c>
      <c r="I31" s="12">
        <v>15</v>
      </c>
      <c r="J31" s="12">
        <v>3</v>
      </c>
      <c r="K31" s="12">
        <v>13</v>
      </c>
      <c r="L31" s="12">
        <v>5.5</v>
      </c>
      <c r="M31" s="12">
        <v>0</v>
      </c>
      <c r="N31" s="12">
        <v>0</v>
      </c>
      <c r="O31" s="12">
        <f t="shared" si="0"/>
        <v>234.9533488670952</v>
      </c>
      <c r="P31" s="12">
        <v>0</v>
      </c>
      <c r="Q31" s="14">
        <f t="shared" si="1"/>
        <v>234.9533488670952</v>
      </c>
    </row>
    <row r="32" spans="1:17" x14ac:dyDescent="0.2">
      <c r="A32" s="9" t="s">
        <v>21</v>
      </c>
      <c r="B32" s="10">
        <v>701</v>
      </c>
      <c r="C32" s="15" t="s">
        <v>46</v>
      </c>
      <c r="D32" s="12">
        <v>123.69</v>
      </c>
      <c r="E32" s="12">
        <f>'[1]data 2'!$H$18</f>
        <v>8.5545662100456621</v>
      </c>
      <c r="F32" s="12">
        <f>'[1]data 2'!$H$13</f>
        <v>30.246874999999999</v>
      </c>
      <c r="G32" s="13">
        <f>'[1]data 2'!$E$66</f>
        <v>2.5315068493150683</v>
      </c>
      <c r="H32" s="12">
        <f>'[1]data 2'!H48</f>
        <v>32.892871129604906</v>
      </c>
      <c r="I32" s="12">
        <v>15</v>
      </c>
      <c r="J32" s="12">
        <v>3</v>
      </c>
      <c r="K32" s="12">
        <v>13</v>
      </c>
      <c r="L32" s="12">
        <v>5.5</v>
      </c>
      <c r="M32" s="12">
        <v>0</v>
      </c>
      <c r="N32" s="12">
        <v>0</v>
      </c>
      <c r="O32" s="12">
        <f t="shared" si="0"/>
        <v>234.41581918896563</v>
      </c>
      <c r="P32" s="12">
        <v>0</v>
      </c>
      <c r="Q32" s="14">
        <f t="shared" si="1"/>
        <v>234.41581918896563</v>
      </c>
    </row>
    <row r="33" spans="1:17" x14ac:dyDescent="0.2">
      <c r="A33" s="9" t="s">
        <v>21</v>
      </c>
      <c r="B33" s="10">
        <v>702</v>
      </c>
      <c r="C33" s="15" t="s">
        <v>47</v>
      </c>
      <c r="D33" s="12">
        <v>123.69</v>
      </c>
      <c r="E33" s="12">
        <f>'[1]data 2'!$H$18</f>
        <v>8.5545662100456621</v>
      </c>
      <c r="F33" s="12">
        <f>'[1]data 2'!$H$13</f>
        <v>30.246874999999999</v>
      </c>
      <c r="G33" s="13">
        <f>'[1]data 2'!$E$66</f>
        <v>2.5315068493150683</v>
      </c>
      <c r="H33" s="12">
        <f>'[1]data 2'!H49</f>
        <v>0</v>
      </c>
      <c r="I33" s="12">
        <v>15</v>
      </c>
      <c r="J33" s="12">
        <v>3</v>
      </c>
      <c r="K33" s="12">
        <v>13</v>
      </c>
      <c r="L33" s="12">
        <v>5.5</v>
      </c>
      <c r="M33" s="12">
        <v>0</v>
      </c>
      <c r="N33" s="12">
        <v>0</v>
      </c>
      <c r="O33" s="12">
        <f t="shared" si="0"/>
        <v>201.52294805936071</v>
      </c>
      <c r="P33" s="12">
        <v>0</v>
      </c>
      <c r="Q33" s="14">
        <f t="shared" si="1"/>
        <v>201.52294805936071</v>
      </c>
    </row>
    <row r="34" spans="1:17" x14ac:dyDescent="0.2">
      <c r="A34" s="9" t="s">
        <v>21</v>
      </c>
      <c r="B34" s="10">
        <v>703</v>
      </c>
      <c r="C34" s="15" t="s">
        <v>48</v>
      </c>
      <c r="D34" s="12">
        <v>123.69</v>
      </c>
      <c r="E34" s="12">
        <f>'[1]data 2'!$H$18</f>
        <v>8.5545662100456621</v>
      </c>
      <c r="F34" s="12">
        <f>'[1]data 2'!$H$13</f>
        <v>30.246874999999999</v>
      </c>
      <c r="G34" s="13">
        <f>'[1]data 2'!$E$66</f>
        <v>2.5315068493150683</v>
      </c>
      <c r="H34" s="12">
        <f>'[1]data 2'!H50</f>
        <v>54.754055195202618</v>
      </c>
      <c r="I34" s="12">
        <v>15</v>
      </c>
      <c r="J34" s="12">
        <v>3</v>
      </c>
      <c r="K34" s="12">
        <v>13</v>
      </c>
      <c r="L34" s="12">
        <v>5.5</v>
      </c>
      <c r="M34" s="12">
        <v>0</v>
      </c>
      <c r="N34" s="12">
        <v>0</v>
      </c>
      <c r="O34" s="12">
        <f t="shared" si="0"/>
        <v>256.27700325456334</v>
      </c>
      <c r="P34" s="12">
        <v>0</v>
      </c>
      <c r="Q34" s="14">
        <f t="shared" si="1"/>
        <v>256.27700325456334</v>
      </c>
    </row>
    <row r="35" spans="1:17" x14ac:dyDescent="0.2">
      <c r="A35" s="9" t="s">
        <v>21</v>
      </c>
      <c r="B35" s="10">
        <v>704</v>
      </c>
      <c r="C35" s="15" t="s">
        <v>49</v>
      </c>
      <c r="D35" s="12">
        <v>123.69</v>
      </c>
      <c r="E35" s="12">
        <f>'[1]data 2'!$H$18</f>
        <v>8.5545662100456621</v>
      </c>
      <c r="F35" s="12">
        <f>'[1]data 2'!$H$13</f>
        <v>30.246874999999999</v>
      </c>
      <c r="G35" s="13">
        <f>'[1]data 2'!$E$66</f>
        <v>2.5315068493150683</v>
      </c>
      <c r="H35" s="12">
        <f>'[1]data 2'!H51</f>
        <v>23.572402398726958</v>
      </c>
      <c r="I35" s="12">
        <v>15</v>
      </c>
      <c r="J35" s="12">
        <v>3</v>
      </c>
      <c r="K35" s="12">
        <v>13</v>
      </c>
      <c r="L35" s="12">
        <v>5.5</v>
      </c>
      <c r="M35" s="12">
        <v>0</v>
      </c>
      <c r="N35" s="12">
        <v>0</v>
      </c>
      <c r="O35" s="12">
        <f t="shared" si="0"/>
        <v>225.09535045808767</v>
      </c>
      <c r="P35" s="12">
        <v>0</v>
      </c>
      <c r="Q35" s="14">
        <f t="shared" si="1"/>
        <v>225.09535045808767</v>
      </c>
    </row>
    <row r="36" spans="1:17" x14ac:dyDescent="0.2">
      <c r="A36" s="9" t="s">
        <v>21</v>
      </c>
      <c r="B36" s="10">
        <v>801</v>
      </c>
      <c r="C36" s="15" t="s">
        <v>50</v>
      </c>
      <c r="D36" s="12">
        <v>123.69</v>
      </c>
      <c r="E36" s="12">
        <f>'[1]data 2'!$H$18</f>
        <v>8.5545662100456621</v>
      </c>
      <c r="F36" s="12">
        <f>'[1]data 2'!$H$13</f>
        <v>30.246874999999999</v>
      </c>
      <c r="G36" s="13">
        <f>'[1]data 2'!$E$66</f>
        <v>2.5315068493150683</v>
      </c>
      <c r="H36" s="12">
        <f>'[1]data 2'!H52</f>
        <v>62.629604699547116</v>
      </c>
      <c r="I36" s="12">
        <v>15</v>
      </c>
      <c r="J36" s="12">
        <v>3</v>
      </c>
      <c r="K36" s="12">
        <v>13</v>
      </c>
      <c r="L36" s="12">
        <v>5.5</v>
      </c>
      <c r="M36" s="12">
        <v>0</v>
      </c>
      <c r="N36" s="12">
        <v>0</v>
      </c>
      <c r="O36" s="12">
        <f t="shared" si="0"/>
        <v>264.15255275890786</v>
      </c>
      <c r="P36" s="12">
        <v>0</v>
      </c>
      <c r="Q36" s="14">
        <f t="shared" si="1"/>
        <v>264.15255275890786</v>
      </c>
    </row>
    <row r="37" spans="1:17" x14ac:dyDescent="0.2">
      <c r="A37" s="9" t="s">
        <v>21</v>
      </c>
      <c r="B37" s="10">
        <v>802</v>
      </c>
      <c r="C37" s="15" t="s">
        <v>51</v>
      </c>
      <c r="D37" s="12">
        <v>123.69</v>
      </c>
      <c r="E37" s="12">
        <f>'[1]data 2'!$H$18</f>
        <v>8.5545662100456621</v>
      </c>
      <c r="F37" s="12">
        <f>'[1]data 2'!$H$13</f>
        <v>30.246874999999999</v>
      </c>
      <c r="G37" s="13">
        <f>'[1]data 2'!$E$66</f>
        <v>2.5315068493150683</v>
      </c>
      <c r="H37" s="12">
        <f>'[1]data 2'!H53</f>
        <v>76.422912128259583</v>
      </c>
      <c r="I37" s="12">
        <v>15</v>
      </c>
      <c r="J37" s="12">
        <v>3</v>
      </c>
      <c r="K37" s="12">
        <v>13</v>
      </c>
      <c r="L37" s="12">
        <v>5.5</v>
      </c>
      <c r="M37" s="12">
        <v>0</v>
      </c>
      <c r="N37" s="12">
        <v>0</v>
      </c>
      <c r="O37" s="12">
        <f t="shared" si="0"/>
        <v>277.94586018762027</v>
      </c>
      <c r="P37" s="12">
        <v>0</v>
      </c>
      <c r="Q37" s="14">
        <f t="shared" si="1"/>
        <v>277.94586018762027</v>
      </c>
    </row>
    <row r="38" spans="1:17" x14ac:dyDescent="0.2">
      <c r="A38" s="9" t="s">
        <v>21</v>
      </c>
      <c r="B38" s="10">
        <v>803</v>
      </c>
      <c r="C38" s="15" t="s">
        <v>52</v>
      </c>
      <c r="D38" s="12">
        <v>123.69</v>
      </c>
      <c r="E38" s="12">
        <f>'[1]data 2'!$H$18</f>
        <v>8.5545662100456621</v>
      </c>
      <c r="F38" s="12">
        <f>'[1]data 2'!$H$13</f>
        <v>30.246874999999999</v>
      </c>
      <c r="G38" s="13">
        <f>'[1]data 2'!$E$66</f>
        <v>2.5315068493150683</v>
      </c>
      <c r="H38" s="12">
        <f>'[1]data 2'!H54</f>
        <v>122.014305470567</v>
      </c>
      <c r="I38" s="12">
        <v>15</v>
      </c>
      <c r="J38" s="12">
        <v>3</v>
      </c>
      <c r="K38" s="12">
        <v>13</v>
      </c>
      <c r="L38" s="12">
        <v>5.5</v>
      </c>
      <c r="M38" s="12">
        <v>0</v>
      </c>
      <c r="N38" s="12">
        <v>0</v>
      </c>
      <c r="O38" s="12">
        <f t="shared" si="0"/>
        <v>323.53725352992774</v>
      </c>
      <c r="P38" s="12">
        <v>0</v>
      </c>
      <c r="Q38" s="14">
        <f t="shared" si="1"/>
        <v>323.53725352992774</v>
      </c>
    </row>
    <row r="39" spans="1:17" x14ac:dyDescent="0.2">
      <c r="A39" s="9" t="s">
        <v>21</v>
      </c>
      <c r="B39" s="10">
        <v>804</v>
      </c>
      <c r="C39" s="15" t="s">
        <v>53</v>
      </c>
      <c r="D39" s="12">
        <v>123.69</v>
      </c>
      <c r="E39" s="12">
        <f>'[1]data 2'!$H$18</f>
        <v>8.5545662100456621</v>
      </c>
      <c r="F39" s="12">
        <f>'[1]data 2'!$H$13</f>
        <v>30.246874999999999</v>
      </c>
      <c r="G39" s="13">
        <f>'[1]data 2'!$E$66</f>
        <v>2.5315068493150683</v>
      </c>
      <c r="H39" s="12">
        <f>'[1]data 2'!H55</f>
        <v>70.633372292252091</v>
      </c>
      <c r="I39" s="12">
        <v>15</v>
      </c>
      <c r="J39" s="12">
        <v>3</v>
      </c>
      <c r="K39" s="12">
        <v>13</v>
      </c>
      <c r="L39" s="12">
        <v>5.5</v>
      </c>
      <c r="M39" s="12">
        <v>0</v>
      </c>
      <c r="N39" s="12">
        <v>0</v>
      </c>
      <c r="O39" s="12">
        <f t="shared" si="0"/>
        <v>272.15632035161281</v>
      </c>
      <c r="P39" s="12">
        <v>0</v>
      </c>
      <c r="Q39" s="14">
        <f t="shared" si="1"/>
        <v>272.15632035161281</v>
      </c>
    </row>
    <row r="40" spans="1:17" s="18" customFormat="1" ht="22.5" customHeight="1" thickBot="1" x14ac:dyDescent="0.25">
      <c r="A40" s="19" t="s">
        <v>54</v>
      </c>
      <c r="B40" s="20"/>
      <c r="C40" s="21"/>
      <c r="D40" s="16">
        <f>SUM(D8:D39)</f>
        <v>3958.0800000000013</v>
      </c>
      <c r="E40" s="16">
        <f t="shared" ref="E40:Q40" si="2">SUM(E8:E39)</f>
        <v>273.74611872146119</v>
      </c>
      <c r="F40" s="16">
        <f t="shared" si="2"/>
        <v>967.90000000000055</v>
      </c>
      <c r="G40" s="16">
        <f t="shared" si="2"/>
        <v>81.008219178082115</v>
      </c>
      <c r="H40" s="16">
        <f t="shared" si="2"/>
        <v>1611.8000000000004</v>
      </c>
      <c r="I40" s="16">
        <f t="shared" si="2"/>
        <v>480</v>
      </c>
      <c r="J40" s="16">
        <f t="shared" si="2"/>
        <v>96</v>
      </c>
      <c r="K40" s="16">
        <f t="shared" si="2"/>
        <v>416</v>
      </c>
      <c r="L40" s="16">
        <f t="shared" si="2"/>
        <v>176</v>
      </c>
      <c r="M40" s="16">
        <f t="shared" si="2"/>
        <v>0</v>
      </c>
      <c r="N40" s="16">
        <f t="shared" si="2"/>
        <v>0</v>
      </c>
      <c r="O40" s="16">
        <f t="shared" si="2"/>
        <v>8060.5343378995422</v>
      </c>
      <c r="P40" s="16">
        <f t="shared" si="2"/>
        <v>0</v>
      </c>
      <c r="Q40" s="17">
        <f t="shared" si="2"/>
        <v>8060.5343378995422</v>
      </c>
    </row>
  </sheetData>
  <mergeCells count="9">
    <mergeCell ref="A40:C40"/>
    <mergeCell ref="B2:C2"/>
    <mergeCell ref="D2:Q2"/>
    <mergeCell ref="E4:F4"/>
    <mergeCell ref="G4:H4"/>
    <mergeCell ref="A6:A7"/>
    <mergeCell ref="B6:B7"/>
    <mergeCell ref="C6:C7"/>
    <mergeCell ref="D6:Q6"/>
  </mergeCells>
  <pageMargins left="0.94488188976377963" right="0.15748031496062992" top="0.27559055118110237" bottom="0.11811023622047245" header="0.19685039370078741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Consolidado </vt:lpstr>
      <vt:lpstr>'Consolidado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 SAAVEDRA SALINAS</dc:creator>
  <cp:lastModifiedBy>Miguel Arturo Fernandez Gargurevich</cp:lastModifiedBy>
  <dcterms:created xsi:type="dcterms:W3CDTF">2026-10-24T17:15:30Z</dcterms:created>
  <dcterms:modified xsi:type="dcterms:W3CDTF">2026-10-25T00:29:00Z</dcterms:modified>
</cp:coreProperties>
</file>